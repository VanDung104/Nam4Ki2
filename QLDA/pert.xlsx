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am4Ki2\QLDA\"/>
    </mc:Choice>
  </mc:AlternateContent>
  <xr:revisionPtr revIDLastSave="0" documentId="13_ncr:1_{229BACDB-867A-4D6B-9D4F-ECD3AAE978EF}" xr6:coauthVersionLast="47" xr6:coauthVersionMax="47" xr10:uidLastSave="{00000000-0000-0000-0000-000000000000}"/>
  <bookViews>
    <workbookView xWindow="-108" yWindow="-108" windowWidth="23256" windowHeight="12576" xr2:uid="{C978A1D6-954E-4F1E-A417-08ABF8F902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H5" i="1"/>
  <c r="I5" i="1" s="1"/>
  <c r="G5" i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G10" i="1"/>
  <c r="G6" i="1"/>
  <c r="H18" i="1" s="1"/>
  <c r="G7" i="1"/>
  <c r="G8" i="1"/>
  <c r="G9" i="1"/>
  <c r="G11" i="1"/>
  <c r="G12" i="1"/>
  <c r="B20" i="1" l="1"/>
  <c r="G17" i="1"/>
  <c r="H19" i="1" s="1"/>
  <c r="K5" i="1"/>
  <c r="N5" i="1" s="1"/>
</calcChain>
</file>

<file path=xl/sharedStrings.xml><?xml version="1.0" encoding="utf-8"?>
<sst xmlns="http://schemas.openxmlformats.org/spreadsheetml/2006/main" count="50" uniqueCount="37">
  <si>
    <t>No</t>
  </si>
  <si>
    <t>Công việc</t>
  </si>
  <si>
    <t>O</t>
  </si>
  <si>
    <t>M</t>
  </si>
  <si>
    <t>P</t>
  </si>
  <si>
    <t>Ràng buộc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</si>
  <si>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</si>
  <si>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</si>
  <si>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</si>
  <si>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</si>
  <si>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</si>
  <si>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</si>
  <si>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</si>
  <si>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</si>
  <si>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</si>
  <si>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</si>
  <si>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Te</t>
  </si>
  <si>
    <t>σ</t>
  </si>
  <si>
    <t>ĐỘ lệch chuẩn:</t>
  </si>
  <si>
    <t>Phân tích yêu cầu</t>
  </si>
  <si>
    <t>Thiết kế hệ thống</t>
  </si>
  <si>
    <t>Thiết kế UI</t>
  </si>
  <si>
    <t>Dev Giao diện</t>
  </si>
  <si>
    <t>Dev Backend</t>
  </si>
  <si>
    <t>Tích hợp thanh toán</t>
  </si>
  <si>
    <t>Tiền xử lý dữ liệu</t>
  </si>
  <si>
    <t>Dev AI</t>
  </si>
  <si>
    <t>V</t>
  </si>
  <si>
    <t>K</t>
  </si>
  <si>
    <t>CP:S -&gt; ABEFJ -&gt; F</t>
  </si>
  <si>
    <t>Vcp</t>
  </si>
  <si>
    <t>σ_cp</t>
  </si>
  <si>
    <t>Z</t>
  </si>
  <si>
    <t>T</t>
  </si>
  <si>
    <t>T_cp</t>
  </si>
  <si>
    <t xml:space="preserve"> B,C</t>
  </si>
  <si>
    <t>D,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</si>
</sst>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468222</xdr:colOff>
      <xdr:row>1</xdr:row>
      <xdr:rowOff>33361</xdr:rowOff>
    </xdr:from>
    <xdr:to>
      <xdr:col>22</xdr:col>
      <xdr:colOff>322485</xdr:colOff>
      <xdr:row>4</xdr:row>
      <xdr:rowOff>204010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289782-AAF0-9D1F-A0D0-F5777E3EA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07940" y="212655"/>
          <a:ext cx="2902263" cy="914720"/>
        </a:xfrm>
        <a:prstGeom prst="rect">
          <a:avLst/>
        </a:prstGeom>
      </xdr:spPr>
    </xdr:pic>
    <xdr:clientData/>
  </xdr:twoCellAnchor>
  <xdr:twoCellAnchor editAs="oneCell">
    <xdr:from>
      <xdr:col>17</xdr:col>
      <xdr:colOff>157985</xdr:colOff>
      <xdr:row>5</xdr:row>
      <xdr:rowOff>136087</xdr:rowOff>
    </xdr:from>
    <xdr:to>
      <xdr:col>26</xdr:col>
      <xdr:colOff>191957</xdr:colOff>
      <xdr:row>8</xdr:row>
      <xdr:rowOff>208701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92A159-81C0-4B76-33CC-33E3C26A7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97703" y="1435969"/>
          <a:ext cx="5520372" cy="1202167"/>
        </a:xfrm>
        <a:prstGeom prst="rect">
          <a:avLst/>
        </a:prstGeom>
      </xdr:spPr>
    </xdr:pic>
    <xdr:clientData/>
  </xdr:twoCellAnchor>
  <xdr:twoCellAnchor editAs="oneCell">
    <xdr:from>
      <xdr:col>15</xdr:col>
      <xdr:colOff>285401</xdr:colOff>
      <xdr:row>8</xdr:row>
      <xdr:rowOff>304536</xdr:rowOff>
    </xdr:from>
    <xdr:to>
      <xdr:col>29</xdr:col>
      <xdr:colOff>68405</xdr:colOff>
      <xdr:row>14</xdr:row>
      <xdr:rowOff>96212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552E48A-1F9A-26AB-5BB8-290FFCB64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05919" y="2733971"/>
          <a:ext cx="8317404" cy="166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2D95E-0E74-4E50-AAEC-76C7C17AFD38}">
  <dimension ref="A3:N34"/>
  <sheetViews>
    <sheetView tabSelected="1" zoomScale="85" zoomScaleNormal="85" workbookViewId="0">
      <selection activeCell="J5" sqref="J5"/>
    </sheetView>
  </sheetViews>
  <sheetFormatPr defaultRowHeight="14.4" x14ac:dyDescent="0.3"/>
  <cols>
    <col min="1" max="1" width="14.33203125" customWidth="1"/>
  </cols>
  <sheetData>
    <row r="3" spans="1:14" ht="15" thickBot="1" x14ac:dyDescent="0.35"/>
    <row r="4" spans="1:14" ht="29.4" thickBot="1" x14ac:dyDescent="0.35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6" t="s">
        <v>16</v>
      </c>
      <c r="H4" s="6" t="s">
        <v>17</v>
      </c>
      <c r="I4" s="6" t="s">
        <v>27</v>
      </c>
      <c r="J4" s="6" t="s">
        <v>30</v>
      </c>
      <c r="K4" s="6" t="s">
        <v>31</v>
      </c>
      <c r="L4" s="6" t="s">
        <v>33</v>
      </c>
      <c r="M4" s="6" t="s">
        <v>34</v>
      </c>
      <c r="N4" s="6" t="s">
        <v>32</v>
      </c>
    </row>
    <row r="5" spans="1:14" ht="29.4" thickBot="1" x14ac:dyDescent="0.35">
      <c r="A5" s="3" t="s">
        <v>6</v>
      </c>
      <c r="B5" s="4" t="s">
        <v>19</v>
      </c>
      <c r="C5" s="5">
        <v>2</v>
      </c>
      <c r="D5" s="5">
        <v>1.5</v>
      </c>
      <c r="E5" s="5">
        <v>4</v>
      </c>
      <c r="F5" s="4"/>
      <c r="G5">
        <f>(C5+4*D5 + E5)/6</f>
        <v>2</v>
      </c>
      <c r="H5">
        <f>(E5 - C5) /6</f>
        <v>0.33333333333333331</v>
      </c>
      <c r="I5">
        <f>H5^2</f>
        <v>0.1111111111111111</v>
      </c>
      <c r="J5">
        <f>SUM(I6,I9,I11)</f>
        <v>5.1944444444444438</v>
      </c>
      <c r="K5">
        <f>SQRT(J5)</f>
        <v>2.2791323885295571</v>
      </c>
      <c r="L5">
        <v>12</v>
      </c>
      <c r="M5">
        <v>13</v>
      </c>
      <c r="N5">
        <f>(L5-M5)/K5</f>
        <v>-0.4387634544762784</v>
      </c>
    </row>
    <row r="6" spans="1:14" ht="29.4" thickBot="1" x14ac:dyDescent="0.35">
      <c r="A6" s="3" t="s">
        <v>7</v>
      </c>
      <c r="B6" s="4" t="s">
        <v>20</v>
      </c>
      <c r="C6" s="5">
        <v>1</v>
      </c>
      <c r="D6" s="5">
        <v>5.25</v>
      </c>
      <c r="E6" s="5">
        <v>14</v>
      </c>
      <c r="F6" s="4"/>
      <c r="G6">
        <f t="shared" ref="G6:G14" si="0">(C6+4*D6 + E6)/6</f>
        <v>6</v>
      </c>
      <c r="H6">
        <f t="shared" ref="H6:H14" si="1">(E6 - C6) /6</f>
        <v>2.1666666666666665</v>
      </c>
      <c r="I6">
        <f t="shared" ref="I6:I16" si="2">H6^2</f>
        <v>4.6944444444444438</v>
      </c>
    </row>
    <row r="7" spans="1:14" ht="29.4" thickBot="1" x14ac:dyDescent="0.35">
      <c r="A7" s="3" t="s">
        <v>8</v>
      </c>
      <c r="B7" s="4" t="s">
        <v>21</v>
      </c>
      <c r="C7" s="5">
        <v>1</v>
      </c>
      <c r="D7" s="5">
        <v>2.75</v>
      </c>
      <c r="E7" s="5">
        <v>6</v>
      </c>
      <c r="F7" s="4"/>
      <c r="G7">
        <f t="shared" si="0"/>
        <v>3</v>
      </c>
      <c r="H7">
        <f t="shared" si="1"/>
        <v>0.83333333333333337</v>
      </c>
      <c r="I7">
        <f t="shared" si="2"/>
        <v>0.69444444444444453</v>
      </c>
    </row>
    <row r="8" spans="1:14" ht="29.4" thickBot="1" x14ac:dyDescent="0.35">
      <c r="A8" s="3" t="s">
        <v>9</v>
      </c>
      <c r="B8" s="4" t="s">
        <v>22</v>
      </c>
      <c r="C8" s="5">
        <v>2</v>
      </c>
      <c r="D8" s="5">
        <v>6</v>
      </c>
      <c r="E8" s="5">
        <v>10</v>
      </c>
      <c r="F8" s="4" t="s">
        <v>6</v>
      </c>
      <c r="G8">
        <f t="shared" si="0"/>
        <v>6</v>
      </c>
      <c r="H8">
        <f t="shared" si="1"/>
        <v>1.3333333333333333</v>
      </c>
      <c r="I8">
        <f t="shared" si="2"/>
        <v>1.7777777777777777</v>
      </c>
    </row>
    <row r="9" spans="1:14" ht="29.4" thickBot="1" x14ac:dyDescent="0.35">
      <c r="A9" s="3" t="s">
        <v>10</v>
      </c>
      <c r="B9" s="4" t="s">
        <v>23</v>
      </c>
      <c r="C9" s="5">
        <v>3</v>
      </c>
      <c r="D9" s="5">
        <v>3.75</v>
      </c>
      <c r="E9" s="5">
        <v>6</v>
      </c>
      <c r="F9" s="4" t="s">
        <v>35</v>
      </c>
      <c r="G9">
        <f t="shared" si="0"/>
        <v>4</v>
      </c>
      <c r="H9">
        <f t="shared" si="1"/>
        <v>0.5</v>
      </c>
      <c r="I9">
        <f t="shared" si="2"/>
        <v>0.25</v>
      </c>
    </row>
    <row r="10" spans="1:14" ht="43.8" thickBot="1" x14ac:dyDescent="0.35">
      <c r="A10" s="3" t="s">
        <v>11</v>
      </c>
      <c r="B10" s="4" t="s">
        <v>24</v>
      </c>
      <c r="C10" s="5">
        <v>5</v>
      </c>
      <c r="D10" s="5">
        <v>7</v>
      </c>
      <c r="E10" s="5">
        <v>15</v>
      </c>
      <c r="F10" s="4" t="s">
        <v>6</v>
      </c>
      <c r="G10">
        <f>(C10+4*D10 + E10)/6</f>
        <v>8</v>
      </c>
      <c r="H10">
        <f t="shared" si="1"/>
        <v>1.6666666666666667</v>
      </c>
      <c r="I10">
        <f t="shared" si="2"/>
        <v>2.7777777777777781</v>
      </c>
    </row>
    <row r="11" spans="1:14" ht="29.4" thickBot="1" x14ac:dyDescent="0.35">
      <c r="A11" s="3" t="s">
        <v>12</v>
      </c>
      <c r="B11" s="4" t="s">
        <v>25</v>
      </c>
      <c r="C11" s="5">
        <v>2</v>
      </c>
      <c r="D11" s="5">
        <v>2.75</v>
      </c>
      <c r="E11" s="5">
        <v>5</v>
      </c>
      <c r="F11" s="4" t="s">
        <v>36</v>
      </c>
      <c r="G11">
        <f t="shared" si="0"/>
        <v>3</v>
      </c>
      <c r="H11">
        <f t="shared" si="1"/>
        <v>0.5</v>
      </c>
      <c r="I11">
        <f t="shared" si="2"/>
        <v>0.25</v>
      </c>
    </row>
    <row r="12" spans="1:14" ht="15" thickBot="1" x14ac:dyDescent="0.35">
      <c r="A12" s="3" t="s">
        <v>13</v>
      </c>
      <c r="B12" s="4" t="s">
        <v>26</v>
      </c>
      <c r="C12" s="5">
        <v>1</v>
      </c>
      <c r="D12" s="5">
        <v>1.5</v>
      </c>
      <c r="E12" s="5">
        <v>5</v>
      </c>
      <c r="F12" s="4" t="s">
        <v>11</v>
      </c>
      <c r="G12">
        <f t="shared" si="0"/>
        <v>2</v>
      </c>
      <c r="H12">
        <f t="shared" si="1"/>
        <v>0.66666666666666663</v>
      </c>
      <c r="I12">
        <f t="shared" si="2"/>
        <v>0.44444444444444442</v>
      </c>
    </row>
    <row r="13" spans="1:14" ht="15" thickBot="1" x14ac:dyDescent="0.35">
      <c r="A13" s="3"/>
      <c r="B13" s="4"/>
      <c r="C13" s="5"/>
      <c r="D13" s="5"/>
      <c r="E13" s="5"/>
      <c r="F13" s="4"/>
    </row>
    <row r="14" spans="1:14" ht="15" thickBot="1" x14ac:dyDescent="0.35">
      <c r="A14" s="3"/>
      <c r="B14" s="4"/>
      <c r="C14" s="5"/>
      <c r="D14" s="5"/>
      <c r="E14" s="5"/>
      <c r="F14" s="4"/>
    </row>
    <row r="15" spans="1:14" ht="15" thickBot="1" x14ac:dyDescent="0.35">
      <c r="A15" s="9"/>
      <c r="B15" s="10"/>
      <c r="C15" s="11"/>
      <c r="D15" s="11"/>
      <c r="E15" s="11"/>
      <c r="F15" s="10"/>
    </row>
    <row r="16" spans="1:14" ht="12.6" customHeight="1" thickBot="1" x14ac:dyDescent="0.35">
      <c r="A16" s="3"/>
      <c r="B16" s="4"/>
      <c r="C16" s="5"/>
      <c r="D16" s="5"/>
      <c r="E16" s="5"/>
      <c r="F16" s="4"/>
    </row>
    <row r="17" spans="1:8" x14ac:dyDescent="0.3">
      <c r="G17">
        <f xml:space="preserve"> SUM(G5:G16)</f>
        <v>34</v>
      </c>
    </row>
    <row r="18" spans="1:8" x14ac:dyDescent="0.3">
      <c r="A18" s="7" t="s">
        <v>29</v>
      </c>
      <c r="H18">
        <f>SUM(G5:G6,G9,G10,G14)</f>
        <v>20</v>
      </c>
    </row>
    <row r="19" spans="1:8" x14ac:dyDescent="0.3">
      <c r="H19">
        <f>G17/H18</f>
        <v>1.7</v>
      </c>
    </row>
    <row r="20" spans="1:8" x14ac:dyDescent="0.3">
      <c r="A20" s="8" t="s">
        <v>18</v>
      </c>
      <c r="B20">
        <f>SQRT(H5^2+H7^2+H9^2+H10^2+H12^2+H13^2+H14^2)</f>
        <v>2.0682789409984763</v>
      </c>
    </row>
    <row r="21" spans="1:8" ht="15" thickBot="1" x14ac:dyDescent="0.35"/>
    <row r="22" spans="1:8" ht="15" thickBot="1" x14ac:dyDescent="0.35">
      <c r="A22" s="1" t="s">
        <v>0</v>
      </c>
    </row>
    <row r="23" spans="1:8" ht="15" thickBot="1" x14ac:dyDescent="0.35">
      <c r="A23" s="3" t="s">
        <v>6</v>
      </c>
    </row>
    <row r="24" spans="1:8" ht="15" thickBot="1" x14ac:dyDescent="0.35">
      <c r="A24" s="3" t="s">
        <v>7</v>
      </c>
    </row>
    <row r="25" spans="1:8" ht="15" thickBot="1" x14ac:dyDescent="0.35">
      <c r="A25" s="3" t="s">
        <v>8</v>
      </c>
    </row>
    <row r="26" spans="1:8" ht="15" thickBot="1" x14ac:dyDescent="0.35">
      <c r="A26" s="3" t="s">
        <v>9</v>
      </c>
    </row>
    <row r="27" spans="1:8" ht="15" thickBot="1" x14ac:dyDescent="0.35">
      <c r="A27" s="3" t="s">
        <v>10</v>
      </c>
    </row>
    <row r="28" spans="1:8" ht="15" thickBot="1" x14ac:dyDescent="0.35">
      <c r="A28" s="3" t="s">
        <v>11</v>
      </c>
    </row>
    <row r="29" spans="1:8" ht="15" thickBot="1" x14ac:dyDescent="0.35">
      <c r="A29" s="3" t="s">
        <v>12</v>
      </c>
    </row>
    <row r="30" spans="1:8" ht="15" thickBot="1" x14ac:dyDescent="0.35">
      <c r="A30" s="3" t="s">
        <v>13</v>
      </c>
    </row>
    <row r="31" spans="1:8" ht="15" thickBot="1" x14ac:dyDescent="0.35">
      <c r="A31" s="3" t="s">
        <v>14</v>
      </c>
    </row>
    <row r="32" spans="1:8" ht="15" thickBot="1" x14ac:dyDescent="0.35">
      <c r="A32" s="3" t="s">
        <v>15</v>
      </c>
    </row>
    <row r="33" spans="1:1" ht="15" thickBot="1" x14ac:dyDescent="0.35">
      <c r="A33" s="3" t="s">
        <v>28</v>
      </c>
    </row>
    <row r="34" spans="1:1" ht="15" thickBot="1" x14ac:dyDescent="0.35">
      <c r="A34" s="3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 Dung</dc:creator>
  <cp:lastModifiedBy>Chu Dung</cp:lastModifiedBy>
  <dcterms:created xsi:type="dcterms:W3CDTF">2025-03-28T02:36:39Z</dcterms:created>
  <dcterms:modified xsi:type="dcterms:W3CDTF">2025-05-26T03:59:46Z</dcterms:modified>
</cp:coreProperties>
</file>