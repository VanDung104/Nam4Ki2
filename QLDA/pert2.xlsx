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m4Ki2\QLDA\"/>
    </mc:Choice>
  </mc:AlternateContent>
  <xr:revisionPtr revIDLastSave="0" documentId="13_ncr:1_{7C835073-C908-4A68-9712-38BC23109CD3}" xr6:coauthVersionLast="47" xr6:coauthVersionMax="47" xr10:uidLastSave="{00000000-0000-0000-0000-000000000000}"/>
  <bookViews>
    <workbookView xWindow="-108" yWindow="-108" windowWidth="23256" windowHeight="12576" xr2:uid="{B2BB8F2B-0BAA-4D93-A30F-347FB60A38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H6" i="1"/>
  <c r="N6" i="1"/>
  <c r="M6" i="1"/>
  <c r="K6" i="1"/>
  <c r="I17" i="1"/>
  <c r="J17" i="1" s="1"/>
  <c r="J7" i="1"/>
  <c r="J8" i="1"/>
  <c r="J9" i="1"/>
  <c r="J10" i="1"/>
  <c r="J11" i="1"/>
  <c r="J12" i="1"/>
  <c r="J13" i="1"/>
  <c r="J14" i="1"/>
  <c r="J15" i="1"/>
  <c r="J16" i="1"/>
  <c r="J6" i="1"/>
  <c r="I7" i="1"/>
  <c r="I8" i="1"/>
  <c r="I9" i="1"/>
  <c r="I10" i="1"/>
  <c r="I11" i="1"/>
  <c r="I12" i="1"/>
  <c r="I13" i="1"/>
  <c r="I14" i="1"/>
  <c r="I15" i="1"/>
  <c r="I16" i="1"/>
  <c r="I6" i="1"/>
  <c r="H7" i="1"/>
  <c r="H8" i="1"/>
  <c r="H9" i="1"/>
  <c r="H10" i="1"/>
  <c r="H11" i="1"/>
  <c r="H12" i="1"/>
  <c r="H13" i="1"/>
  <c r="H14" i="1"/>
  <c r="H15" i="1"/>
  <c r="H16" i="1"/>
  <c r="H17" i="1"/>
</calcChain>
</file>

<file path=xl/sharedStrings.xml><?xml version="1.0" encoding="utf-8"?>
<sst xmlns="http://schemas.openxmlformats.org/spreadsheetml/2006/main" count="46" uniqueCount="38">
  <si>
    <t>No</t>
  </si>
  <si>
    <t>Công việc</t>
  </si>
  <si>
    <t>M</t>
  </si>
  <si>
    <t>Ràng buộc</t>
  </si>
  <si>
    <t>A</t>
  </si>
  <si>
    <t>Phân tích yêu cầu</t>
  </si>
  <si>
    <t>B</t>
  </si>
  <si>
    <t>Thiết kế hệ thống</t>
  </si>
  <si>
    <t>C</t>
  </si>
  <si>
    <t>Thiết kế UI</t>
  </si>
  <si>
    <t>D</t>
  </si>
  <si>
    <t>Dev Giao diện</t>
  </si>
  <si>
    <t>B, C</t>
  </si>
  <si>
    <t>E</t>
  </si>
  <si>
    <t>Dev Backend</t>
  </si>
  <si>
    <t>F</t>
  </si>
  <si>
    <t>Tích hợp thanh toán</t>
  </si>
  <si>
    <t>G</t>
  </si>
  <si>
    <t>Tiền xử lý dữ liệu</t>
  </si>
  <si>
    <t>H</t>
  </si>
  <si>
    <t>Dev AI</t>
  </si>
  <si>
    <t>I</t>
  </si>
  <si>
    <t>Tích hợp AI</t>
  </si>
  <si>
    <t>G, H</t>
  </si>
  <si>
    <t>J</t>
  </si>
  <si>
    <t>Kiểm thử hệ thống</t>
  </si>
  <si>
    <t>D, F, I</t>
  </si>
  <si>
    <t>K</t>
  </si>
  <si>
    <t>Tối ưu hóa hệ thống</t>
  </si>
  <si>
    <t>Viết tài liệu hướng dẫn</t>
  </si>
  <si>
    <t>Thời gian kì vọng</t>
  </si>
  <si>
    <r>
      <t>Variance (V) = σ</t>
    </r>
    <r>
      <rPr>
        <b/>
        <vertAlign val="superscript"/>
        <sz val="11"/>
        <color rgb="FF000000"/>
        <rFont val="Calibri"/>
        <family val="2"/>
      </rPr>
      <t>2</t>
    </r>
  </si>
  <si>
    <t>O (a)</t>
  </si>
  <si>
    <t>M (m)</t>
  </si>
  <si>
    <t>P (b)</t>
  </si>
  <si>
    <t xml:space="preserve">độ lệch chuẩn σ </t>
  </si>
  <si>
    <t xml:space="preserve">V_cp </t>
  </si>
  <si>
    <t>σ_cp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</si>
</sst>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justify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0" borderId="5" xfId="0" applyBorder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480060</xdr:colOff>
      <xdr:row>0</xdr:row>
      <xdr:rowOff>68580</xdr:rowOff>
    </xdr:from>
    <xdr:to>
      <xdr:col>18</xdr:col>
      <xdr:colOff>279831</xdr:colOff>
      <xdr:row>4</xdr:row>
      <xdr:rowOff>396107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00073A-4843-CF62-15AF-27DF50807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8360" y="68580"/>
          <a:ext cx="1628571" cy="1066667"/>
        </a:xfrm>
        <a:prstGeom prst="rect">
          <a:avLst/>
        </a:prstGeom>
      </xdr:spPr>
    </xdr:pic>
    <xdr:clientData/>
  </xdr:twoCellAnchor>
  <xdr:twoCellAnchor editAs="oneCell">
    <xdr:from>
      <xdr:col>15</xdr:col>
      <xdr:colOff>495300</xdr:colOff>
      <xdr:row>5</xdr:row>
      <xdr:rowOff>83820</xdr:rowOff>
    </xdr:from>
    <xdr:to>
      <xdr:col>20</xdr:col>
      <xdr:colOff>513967</xdr:colOff>
      <xdr:row>7</xdr:row>
      <xdr:rowOff>213250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455D241-05E1-49CE-FF9D-B5E032D43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1196340"/>
          <a:ext cx="3066667" cy="876190"/>
        </a:xfrm>
        <a:prstGeom prst="rect">
          <a:avLst/>
        </a:prstGeom>
      </xdr:spPr>
    </xdr:pic>
    <xdr:clientData/>
  </xdr:twoCellAnchor>
  <xdr:twoCellAnchor editAs="oneCell">
    <xdr:from>
      <xdr:col>16</xdr:col>
      <xdr:colOff>7620</xdr:colOff>
      <xdr:row>7</xdr:row>
      <xdr:rowOff>259080</xdr:rowOff>
    </xdr:from>
    <xdr:to>
      <xdr:col>18</xdr:col>
      <xdr:colOff>464610</xdr:colOff>
      <xdr:row>10</xdr:row>
      <xdr:rowOff>43702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DC9E96-27D4-F3A1-AC27-5CF2CA9C0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75520" y="2141220"/>
          <a:ext cx="1676190" cy="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B034-7488-4B8E-94F9-D8349C634278}">
  <dimension ref="B4:N22"/>
  <sheetViews>
    <sheetView tabSelected="1" topLeftCell="A10" workbookViewId="0">
      <selection activeCell="I23" sqref="I23"/>
    </sheetView>
  </sheetViews>
  <sheetFormatPr defaultRowHeight="14.4" x14ac:dyDescent="0.3"/>
  <cols>
    <col min="8" max="8" width="10.5546875" customWidth="1"/>
  </cols>
  <sheetData>
    <row r="4" spans="2:14" ht="15" thickBot="1" x14ac:dyDescent="0.35"/>
    <row r="5" spans="2:14" ht="31.2" thickBot="1" x14ac:dyDescent="0.35">
      <c r="B5" s="1" t="s">
        <v>0</v>
      </c>
      <c r="C5" s="2" t="s">
        <v>1</v>
      </c>
      <c r="D5" s="2" t="s">
        <v>32</v>
      </c>
      <c r="E5" s="2" t="s">
        <v>33</v>
      </c>
      <c r="F5" s="2" t="s">
        <v>34</v>
      </c>
      <c r="G5" s="6" t="s">
        <v>3</v>
      </c>
      <c r="H5" s="8" t="s">
        <v>30</v>
      </c>
      <c r="I5" s="10" t="s">
        <v>31</v>
      </c>
      <c r="J5" s="10" t="s">
        <v>35</v>
      </c>
      <c r="M5" s="10" t="s">
        <v>36</v>
      </c>
      <c r="N5" s="10" t="s">
        <v>37</v>
      </c>
    </row>
    <row r="6" spans="2:14" ht="29.4" thickBot="1" x14ac:dyDescent="0.35">
      <c r="B6" s="3" t="s">
        <v>4</v>
      </c>
      <c r="C6" s="4" t="s">
        <v>5</v>
      </c>
      <c r="D6" s="5">
        <v>4</v>
      </c>
      <c r="E6" s="5">
        <v>9.25</v>
      </c>
      <c r="F6" s="5">
        <v>13</v>
      </c>
      <c r="G6" s="7"/>
      <c r="H6" s="9" t="b">
        <f>I2234=(D6 + 4*E6 + F6) /6</f>
        <v>0</v>
      </c>
      <c r="I6">
        <f xml:space="preserve"> ((F6 - D6)/6) ^2</f>
        <v>2.25</v>
      </c>
      <c r="J6">
        <f xml:space="preserve"> SQRT(I6)</f>
        <v>1.5</v>
      </c>
      <c r="K6">
        <f>(F6 -D6)/6</f>
        <v>1.5</v>
      </c>
      <c r="M6">
        <f>I6+I7+I10+I11+I15</f>
        <v>11.083333333333334</v>
      </c>
      <c r="N6">
        <f>SQRT(M6)</f>
        <v>3.3291640592396967</v>
      </c>
    </row>
    <row r="7" spans="2:14" ht="29.4" thickBot="1" x14ac:dyDescent="0.35">
      <c r="B7" s="3" t="s">
        <v>6</v>
      </c>
      <c r="C7" s="4" t="s">
        <v>7</v>
      </c>
      <c r="D7" s="5">
        <v>10</v>
      </c>
      <c r="E7" s="5">
        <v>11.25</v>
      </c>
      <c r="F7" s="5">
        <v>17</v>
      </c>
      <c r="G7" s="7" t="s">
        <v>4</v>
      </c>
      <c r="H7" s="9">
        <f t="shared" ref="H7:H17" si="0">(D7 + 4*E7 + F7) /6</f>
        <v>12</v>
      </c>
      <c r="I7">
        <f t="shared" ref="I7:I16" si="1" xml:space="preserve"> ((F7 - D7)/6) ^2</f>
        <v>1.3611111111111114</v>
      </c>
      <c r="J7">
        <f t="shared" ref="J7:J17" si="2" xml:space="preserve"> SQRT(I7)</f>
        <v>1.1666666666666667</v>
      </c>
    </row>
    <row r="8" spans="2:14" ht="29.4" thickBot="1" x14ac:dyDescent="0.35">
      <c r="B8" s="3" t="s">
        <v>8</v>
      </c>
      <c r="C8" s="4" t="s">
        <v>9</v>
      </c>
      <c r="D8" s="5">
        <v>5</v>
      </c>
      <c r="E8" s="5">
        <v>10.75</v>
      </c>
      <c r="F8" s="5">
        <v>12</v>
      </c>
      <c r="G8" s="7" t="s">
        <v>4</v>
      </c>
      <c r="H8" s="9">
        <f t="shared" si="0"/>
        <v>10</v>
      </c>
      <c r="I8">
        <f t="shared" si="1"/>
        <v>1.3611111111111114</v>
      </c>
      <c r="J8">
        <f t="shared" si="2"/>
        <v>1.1666666666666667</v>
      </c>
    </row>
    <row r="9" spans="2:14" ht="29.4" thickBot="1" x14ac:dyDescent="0.35">
      <c r="B9" s="3" t="s">
        <v>10</v>
      </c>
      <c r="C9" s="4" t="s">
        <v>11</v>
      </c>
      <c r="D9" s="5">
        <v>9</v>
      </c>
      <c r="E9" s="5">
        <v>15.75</v>
      </c>
      <c r="F9" s="5">
        <v>18</v>
      </c>
      <c r="G9" s="7" t="s">
        <v>12</v>
      </c>
      <c r="H9" s="9">
        <f t="shared" si="0"/>
        <v>15</v>
      </c>
      <c r="I9">
        <f t="shared" si="1"/>
        <v>2.25</v>
      </c>
      <c r="J9">
        <f t="shared" si="2"/>
        <v>1.5</v>
      </c>
    </row>
    <row r="10" spans="2:14" ht="29.4" thickBot="1" x14ac:dyDescent="0.35">
      <c r="B10" s="3" t="s">
        <v>13</v>
      </c>
      <c r="C10" s="4" t="s">
        <v>14</v>
      </c>
      <c r="D10" s="5">
        <v>14</v>
      </c>
      <c r="E10" s="5">
        <v>20.5</v>
      </c>
      <c r="F10" s="5">
        <v>24</v>
      </c>
      <c r="G10" s="7" t="s">
        <v>6</v>
      </c>
      <c r="H10" s="9">
        <f t="shared" si="0"/>
        <v>20</v>
      </c>
      <c r="I10">
        <f t="shared" si="1"/>
        <v>2.7777777777777781</v>
      </c>
      <c r="J10">
        <f t="shared" si="2"/>
        <v>1.6666666666666667</v>
      </c>
    </row>
    <row r="11" spans="2:14" ht="43.8" thickBot="1" x14ac:dyDescent="0.35">
      <c r="B11" s="3" t="s">
        <v>15</v>
      </c>
      <c r="C11" s="4" t="s">
        <v>16</v>
      </c>
      <c r="D11" s="5">
        <v>12</v>
      </c>
      <c r="E11" s="5">
        <v>15.25</v>
      </c>
      <c r="F11" s="5">
        <v>17</v>
      </c>
      <c r="G11" s="7" t="s">
        <v>13</v>
      </c>
      <c r="H11" s="9">
        <f t="shared" si="0"/>
        <v>15</v>
      </c>
      <c r="I11">
        <f t="shared" si="1"/>
        <v>0.69444444444444453</v>
      </c>
      <c r="J11">
        <f t="shared" si="2"/>
        <v>0.83333333333333337</v>
      </c>
    </row>
    <row r="12" spans="2:14" ht="29.4" thickBot="1" x14ac:dyDescent="0.35">
      <c r="B12" s="3" t="s">
        <v>17</v>
      </c>
      <c r="C12" s="4" t="s">
        <v>18</v>
      </c>
      <c r="D12" s="5">
        <v>18</v>
      </c>
      <c r="E12" s="5">
        <v>25.5</v>
      </c>
      <c r="F12" s="5">
        <v>30</v>
      </c>
      <c r="G12" s="7" t="s">
        <v>4</v>
      </c>
      <c r="H12" s="9">
        <f t="shared" si="0"/>
        <v>25</v>
      </c>
      <c r="I12">
        <f t="shared" si="1"/>
        <v>4</v>
      </c>
      <c r="J12">
        <f t="shared" si="2"/>
        <v>2</v>
      </c>
    </row>
    <row r="13" spans="2:14" ht="15" thickBot="1" x14ac:dyDescent="0.35">
      <c r="B13" s="3" t="s">
        <v>19</v>
      </c>
      <c r="C13" s="4" t="s">
        <v>20</v>
      </c>
      <c r="D13" s="5">
        <v>15</v>
      </c>
      <c r="E13" s="5">
        <v>19.5</v>
      </c>
      <c r="F13" s="5">
        <v>27</v>
      </c>
      <c r="G13" s="7" t="s">
        <v>6</v>
      </c>
      <c r="H13" s="9">
        <f t="shared" si="0"/>
        <v>20</v>
      </c>
      <c r="I13">
        <f t="shared" si="1"/>
        <v>4</v>
      </c>
      <c r="J13">
        <f t="shared" si="2"/>
        <v>2</v>
      </c>
    </row>
    <row r="14" spans="2:14" ht="29.4" thickBot="1" x14ac:dyDescent="0.35">
      <c r="B14" s="3" t="s">
        <v>21</v>
      </c>
      <c r="C14" s="4" t="s">
        <v>22</v>
      </c>
      <c r="D14" s="5">
        <v>9</v>
      </c>
      <c r="E14" s="5">
        <v>12.25</v>
      </c>
      <c r="F14" s="5">
        <v>14</v>
      </c>
      <c r="G14" s="7" t="s">
        <v>23</v>
      </c>
      <c r="H14" s="9">
        <f t="shared" si="0"/>
        <v>12</v>
      </c>
      <c r="I14">
        <f t="shared" si="1"/>
        <v>0.69444444444444453</v>
      </c>
      <c r="J14">
        <f t="shared" si="2"/>
        <v>0.83333333333333337</v>
      </c>
    </row>
    <row r="15" spans="2:14" ht="29.4" thickBot="1" x14ac:dyDescent="0.35">
      <c r="B15" s="3" t="s">
        <v>24</v>
      </c>
      <c r="C15" s="4" t="s">
        <v>25</v>
      </c>
      <c r="D15" s="5">
        <v>24</v>
      </c>
      <c r="E15" s="5">
        <v>30</v>
      </c>
      <c r="F15" s="5">
        <v>36</v>
      </c>
      <c r="G15" s="7" t="s">
        <v>26</v>
      </c>
      <c r="H15" s="9">
        <f t="shared" si="0"/>
        <v>30</v>
      </c>
      <c r="I15">
        <f t="shared" si="1"/>
        <v>4</v>
      </c>
      <c r="J15">
        <f t="shared" si="2"/>
        <v>2</v>
      </c>
    </row>
    <row r="16" spans="2:14" ht="43.8" thickBot="1" x14ac:dyDescent="0.35">
      <c r="B16" s="3" t="s">
        <v>27</v>
      </c>
      <c r="C16" s="4" t="s">
        <v>28</v>
      </c>
      <c r="D16" s="5">
        <v>11</v>
      </c>
      <c r="E16" s="5">
        <v>11.25</v>
      </c>
      <c r="F16" s="5">
        <v>16</v>
      </c>
      <c r="G16" s="7" t="s">
        <v>21</v>
      </c>
      <c r="H16" s="9">
        <f t="shared" si="0"/>
        <v>12</v>
      </c>
      <c r="I16">
        <f t="shared" si="1"/>
        <v>0.69444444444444453</v>
      </c>
      <c r="J16">
        <f t="shared" si="2"/>
        <v>0.83333333333333337</v>
      </c>
    </row>
    <row r="17" spans="2:10" ht="58.2" thickBot="1" x14ac:dyDescent="0.35">
      <c r="B17" s="3" t="s">
        <v>2</v>
      </c>
      <c r="C17" s="4" t="s">
        <v>29</v>
      </c>
      <c r="D17" s="5">
        <v>6</v>
      </c>
      <c r="E17" s="5">
        <v>10.5</v>
      </c>
      <c r="F17" s="5">
        <v>12</v>
      </c>
      <c r="G17" s="7" t="s">
        <v>12</v>
      </c>
      <c r="H17" s="9">
        <f t="shared" si="0"/>
        <v>10</v>
      </c>
      <c r="I17">
        <f xml:space="preserve"> ((F17 - D17)/6) ^2</f>
        <v>1</v>
      </c>
      <c r="J17">
        <f t="shared" si="2"/>
        <v>1</v>
      </c>
    </row>
    <row r="22" spans="2:10" x14ac:dyDescent="0.3">
      <c r="I22">
        <f>34/13</f>
        <v>2.6153846153846154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Dung</dc:creator>
  <cp:lastModifiedBy>Chu Dung</cp:lastModifiedBy>
  <dcterms:created xsi:type="dcterms:W3CDTF">2025-05-25T02:36:30Z</dcterms:created>
  <dcterms:modified xsi:type="dcterms:W3CDTF">2025-05-26T03:59:52Z</dcterms:modified>
</cp:coreProperties>
</file>